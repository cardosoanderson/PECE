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hanez/Documents/Professional/courses/poli mba ia 26/IAD-014 redes neurais/redes neurais jul 26/presentations/aula 2/"/>
    </mc:Choice>
  </mc:AlternateContent>
  <xr:revisionPtr revIDLastSave="0" documentId="13_ncr:1_{69A6D61B-87B9-8443-A807-74CC054E8663}" xr6:coauthVersionLast="47" xr6:coauthVersionMax="47" xr10:uidLastSave="{00000000-0000-0000-0000-000000000000}"/>
  <bookViews>
    <workbookView xWindow="0" yWindow="680" windowWidth="29040" windowHeight="16440" xr2:uid="{D22BBF6B-7B7E-4A9D-9FD4-780C5F80F9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3" i="1"/>
  <c r="P3" i="1" l="1" a="1"/>
  <c r="P3" i="1" s="1"/>
  <c r="Y4" i="1" s="1"/>
  <c r="AB4" i="1" l="1"/>
  <c r="F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<sst xmlns="http://schemas.openxmlformats.org/spreadsheetml/2006/main" count="20" uniqueCount="15">
  <si>
    <t>x1</t>
  </si>
  <si>
    <t>x2</t>
  </si>
  <si>
    <t>z1</t>
  </si>
  <si>
    <t>z2</t>
  </si>
  <si>
    <t>z3</t>
  </si>
  <si>
    <t>z4</t>
  </si>
  <si>
    <t>w1</t>
  </si>
  <si>
    <t>w2</t>
  </si>
  <si>
    <t>b</t>
  </si>
  <si>
    <t>a1</t>
  </si>
  <si>
    <t>a2</t>
  </si>
  <si>
    <t>a3</t>
  </si>
  <si>
    <t>a4</t>
  </si>
  <si>
    <t>w3</t>
  </si>
  <si>
    <t>w4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</si>
</sst>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1" fillId="0" borderId="3" xfId="0" applyFont="1" applyBorder="1"/>
    <xf numFmtId="0" fontId="1" fillId="0" borderId="6" xfId="0" applyFont="1" applyBorder="1"/>
    <xf numFmtId="0" fontId="1" fillId="0" borderId="8" xfId="0" applyFont="1" applyBorder="1"/>
    <xf numFmtId="164" fontId="0" fillId="0" borderId="8" xfId="0" applyNumberFormat="1" applyBorder="1"/>
    <xf numFmtId="0" fontId="1" fillId="0" borderId="2" xfId="0" applyFont="1" applyBorder="1"/>
    <xf numFmtId="0" fontId="1" fillId="0" borderId="0" xfId="0" applyFont="1" applyBorder="1"/>
    <xf numFmtId="0" fontId="1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342901</xdr:colOff>
      <xdr:row>6</xdr:row>
      <xdr:rowOff>88900</xdr:rowOff>
    </xdr:from>
    <xdr:to>
      <xdr:col>4</xdr:col>
      <xdr:colOff>628453</xdr:colOff>
      <xdr:row>21</xdr:row>
      <xdr:rowOff>0</xdr:rowOff>
    </xdr:to>
    <xdr:pic>
      <xdr:nvPicPr>
        <xdr:cNvPr id="2" name="object 20">
          <a:extLst>
            <a:ext uri="{FF2B5EF4-FFF2-40B4-BE49-F238E27FC236}">
              <a16:creationId xmlns:a16="http://schemas.microsoft.com/office/drawing/2014/main" id="{03952CC5-226E-702D-42DF-4DBF97A5AB4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2901" y="1319622"/>
          <a:ext cx="2956480" cy="2856976"/>
        </a:xfrm>
        <a:prstGeom prst="rect">
          <a:avLst/>
        </a:prstGeom>
      </xdr:spPr>
    </xdr:pic>
    <xdr:clientData/>
  </xdr:twoCellAnchor>
  <xdr:twoCellAnchor editAs="oneCell">
    <xdr:from>
      <xdr:col>0</xdr:col>
      <xdr:colOff>288042</xdr:colOff>
      <xdr:row>22</xdr:row>
      <xdr:rowOff>8801</xdr:rowOff>
    </xdr:from>
    <xdr:to>
      <xdr:col>4</xdr:col>
      <xdr:colOff>654640</xdr:colOff>
      <xdr:row>34</xdr:row>
      <xdr:rowOff>188147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044ED6-F88B-57AC-7662-229920ECD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8042" y="4381791"/>
          <a:ext cx="3037526" cy="25360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064A-196B-4E0B-9B3F-FAACDD094E15}">
  <dimension ref="E1:AB35"/>
  <sheetViews>
    <sheetView tabSelected="1" zoomScale="97" zoomScaleNormal="97" workbookViewId="0">
      <selection activeCell="G6" sqref="G6"/>
    </sheetView>
  </sheetViews>
  <sheetFormatPr baseColWidth="10" defaultColWidth="8.83203125" defaultRowHeight="15" x14ac:dyDescent="0.2"/>
  <cols>
    <col min="18" max="18" width="8.83203125" customWidth="1"/>
    <col min="24" max="24" width="5.1640625" customWidth="1"/>
    <col min="27" max="27" width="8.83203125" customWidth="1"/>
  </cols>
  <sheetData>
    <row r="1" spans="5:28" ht="16" thickBot="1" x14ac:dyDescent="0.25"/>
    <row r="2" spans="5:28" ht="16" thickBot="1" x14ac:dyDescent="0.25">
      <c r="H2" s="10" t="s">
        <v>6</v>
      </c>
      <c r="I2" s="15" t="s">
        <v>7</v>
      </c>
      <c r="J2" s="15" t="s">
        <v>8</v>
      </c>
      <c r="K2" s="2"/>
      <c r="L2" s="2"/>
      <c r="M2" s="2"/>
      <c r="N2" s="2"/>
      <c r="O2" s="2"/>
      <c r="P2" s="3"/>
    </row>
    <row r="3" spans="5:28" x14ac:dyDescent="0.2">
      <c r="E3" s="10" t="s">
        <v>0</v>
      </c>
      <c r="F3" s="11">
        <v>0</v>
      </c>
      <c r="H3" s="4">
        <v>-1.4</v>
      </c>
      <c r="I3" s="5">
        <v>1.5</v>
      </c>
      <c r="J3" s="5">
        <v>-0.6</v>
      </c>
      <c r="K3" s="5"/>
      <c r="L3" s="16" t="s">
        <v>2</v>
      </c>
      <c r="M3" s="5">
        <f>$F$3*H3+$F$4*I3+J3</f>
        <v>-0.6</v>
      </c>
      <c r="N3" s="5"/>
      <c r="O3" s="16" t="s">
        <v>9</v>
      </c>
      <c r="P3" s="6" cm="1">
        <f t="array" ref="P3:P6">TANH(M3:M6)</f>
        <v>-0.5370495669980353</v>
      </c>
      <c r="R3" s="10" t="s">
        <v>6</v>
      </c>
      <c r="S3" s="15" t="s">
        <v>7</v>
      </c>
      <c r="T3" s="15" t="s">
        <v>13</v>
      </c>
      <c r="U3" s="15" t="s">
        <v>14</v>
      </c>
      <c r="V3" s="15" t="s">
        <v>8</v>
      </c>
      <c r="W3" s="2"/>
      <c r="X3" s="2"/>
      <c r="Y3" s="2"/>
      <c r="Z3" s="2"/>
      <c r="AA3" s="2"/>
      <c r="AB3" s="3"/>
    </row>
    <row r="4" spans="5:28" ht="16" thickBot="1" x14ac:dyDescent="0.25">
      <c r="E4" s="12" t="s">
        <v>1</v>
      </c>
      <c r="F4" s="13">
        <v>0</v>
      </c>
      <c r="H4" s="4">
        <v>1.6</v>
      </c>
      <c r="I4" s="5">
        <v>1.8</v>
      </c>
      <c r="J4" s="5">
        <v>-1</v>
      </c>
      <c r="K4" s="5"/>
      <c r="L4" s="16" t="s">
        <v>3</v>
      </c>
      <c r="M4" s="5">
        <f>$F$3*H4+$F$4*I4+J4</f>
        <v>-1</v>
      </c>
      <c r="N4" s="5"/>
      <c r="O4" s="16" t="s">
        <v>10</v>
      </c>
      <c r="P4" s="6">
        <v>-0.76159415595576485</v>
      </c>
      <c r="R4" s="7">
        <v>2</v>
      </c>
      <c r="S4" s="8">
        <v>-2</v>
      </c>
      <c r="T4" s="8">
        <v>1</v>
      </c>
      <c r="U4" s="8">
        <v>0.9</v>
      </c>
      <c r="V4" s="8">
        <v>-0.4</v>
      </c>
      <c r="W4" s="8"/>
      <c r="X4" s="17" t="s">
        <v>2</v>
      </c>
      <c r="Y4" s="8">
        <f>P3*R4+P4*S4+P5*T4+P6*U4+V4</f>
        <v>-0.41046749351587675</v>
      </c>
      <c r="Z4" s="8"/>
      <c r="AA4" s="17" t="s">
        <v>9</v>
      </c>
      <c r="AB4" s="14">
        <f>EXP(Y4)/(1+EXP(Y4))</f>
        <v>0.39880003027557476</v>
      </c>
    </row>
    <row r="5" spans="5:28" x14ac:dyDescent="0.2">
      <c r="H5" s="4">
        <v>0.5</v>
      </c>
      <c r="I5" s="5">
        <v>-1</v>
      </c>
      <c r="J5" s="5">
        <v>-0.2</v>
      </c>
      <c r="K5" s="5"/>
      <c r="L5" s="16" t="s">
        <v>4</v>
      </c>
      <c r="M5" s="5">
        <f>$F$3*H5+$F$4*I5+J5</f>
        <v>-0.2</v>
      </c>
      <c r="N5" s="5"/>
      <c r="O5" s="16" t="s">
        <v>11</v>
      </c>
      <c r="P5" s="6">
        <v>-0.19737532022490403</v>
      </c>
    </row>
    <row r="6" spans="5:28" ht="16" thickBot="1" x14ac:dyDescent="0.25">
      <c r="H6" s="7">
        <v>-0.9</v>
      </c>
      <c r="I6" s="8">
        <v>-0.7</v>
      </c>
      <c r="J6" s="8">
        <v>-0.3</v>
      </c>
      <c r="K6" s="8"/>
      <c r="L6" s="17" t="s">
        <v>5</v>
      </c>
      <c r="M6" s="8">
        <f>$F$3*H6+$F$4*I6+J6</f>
        <v>-0.3</v>
      </c>
      <c r="N6" s="8"/>
      <c r="O6" s="17" t="s">
        <v>12</v>
      </c>
      <c r="P6" s="9">
        <v>-0.2913126124515909</v>
      </c>
    </row>
    <row r="14" spans="5:28" x14ac:dyDescent="0.2">
      <c r="F14">
        <f>AB4</f>
        <v>0.39880003027557476</v>
      </c>
      <c r="G14">
        <v>-1</v>
      </c>
      <c r="H14">
        <v>-0.9</v>
      </c>
      <c r="I14">
        <v>-0.8</v>
      </c>
      <c r="J14">
        <v>-0.7</v>
      </c>
      <c r="K14">
        <v>-0.6</v>
      </c>
      <c r="L14">
        <v>-0.5</v>
      </c>
      <c r="M14">
        <v>-0.4</v>
      </c>
      <c r="N14">
        <v>-0.3</v>
      </c>
      <c r="O14">
        <v>-0.2</v>
      </c>
      <c r="P14">
        <v>-0.1</v>
      </c>
      <c r="Q14">
        <v>0</v>
      </c>
      <c r="R14">
        <v>0.1</v>
      </c>
      <c r="S14">
        <v>0.2</v>
      </c>
      <c r="T14">
        <v>0.3</v>
      </c>
      <c r="U14">
        <v>0.4</v>
      </c>
      <c r="V14">
        <v>0.5</v>
      </c>
      <c r="W14">
        <v>0.6</v>
      </c>
      <c r="X14">
        <v>0.7</v>
      </c>
      <c r="Y14">
        <v>0.8</v>
      </c>
      <c r="Z14">
        <v>0.9</v>
      </c>
      <c r="AA14">
        <v>1</v>
      </c>
    </row>
    <row r="15" spans="5:28" x14ac:dyDescent="0.2">
      <c r="F15">
        <v>-1</v>
      </c>
      <c r="G15" s="1">
        <f t="dataTable" ref="G15:AA35" dt2D="1" dtr="1" r1="F4" r2="F3"/>
        <v>0.81115384730007789</v>
      </c>
      <c r="H15" s="1">
        <v>0.82546077974215259</v>
      </c>
      <c r="I15" s="1">
        <v>0.84256891665705114</v>
      </c>
      <c r="J15" s="1">
        <v>0.86123413947379213</v>
      </c>
      <c r="K15" s="1">
        <v>0.87988406177420886</v>
      </c>
      <c r="L15" s="1">
        <v>0.89703465044791209</v>
      </c>
      <c r="M15" s="1">
        <v>0.91165355886649335</v>
      </c>
      <c r="N15" s="1">
        <v>0.9232930079034023</v>
      </c>
      <c r="O15" s="1">
        <v>0.93198799917070396</v>
      </c>
      <c r="P15" s="1">
        <v>0.93804770655692205</v>
      </c>
      <c r="Q15" s="1">
        <v>0.94186560876860659</v>
      </c>
      <c r="R15" s="1">
        <v>0.94379971884250002</v>
      </c>
      <c r="S15" s="1">
        <v>0.94411491375404566</v>
      </c>
      <c r="T15" s="1">
        <v>0.94295929258948907</v>
      </c>
      <c r="U15" s="1">
        <v>0.94034925577085871</v>
      </c>
      <c r="V15" s="1">
        <v>0.93614534787640435</v>
      </c>
      <c r="W15" s="1">
        <v>0.93000480005898134</v>
      </c>
      <c r="X15" s="1">
        <v>0.92129599922689909</v>
      </c>
      <c r="Y15" s="1">
        <v>0.90895713368993014</v>
      </c>
      <c r="Z15" s="1">
        <v>0.89128395531562854</v>
      </c>
      <c r="AA15" s="1">
        <v>0.86566438945283009</v>
      </c>
    </row>
    <row r="16" spans="5:28" x14ac:dyDescent="0.2">
      <c r="F16">
        <v>-0.9</v>
      </c>
      <c r="G16" s="1">
        <v>0.78867195468254669</v>
      </c>
      <c r="H16" s="1">
        <v>0.79910943353143782</v>
      </c>
      <c r="I16" s="1">
        <v>0.81331854014454463</v>
      </c>
      <c r="J16" s="1">
        <v>0.83064833931525939</v>
      </c>
      <c r="K16" s="1">
        <v>0.84980636983185498</v>
      </c>
      <c r="L16" s="1">
        <v>0.86912161044465253</v>
      </c>
      <c r="M16" s="1">
        <v>0.88698613483426503</v>
      </c>
      <c r="N16" s="1">
        <v>0.90225037839436995</v>
      </c>
      <c r="O16" s="1">
        <v>0.91437747385830859</v>
      </c>
      <c r="P16" s="1">
        <v>0.92334441348308094</v>
      </c>
      <c r="Q16" s="1">
        <v>0.92942227514243547</v>
      </c>
      <c r="R16" s="1">
        <v>0.93296949213655955</v>
      </c>
      <c r="S16" s="1">
        <v>0.93429431096526783</v>
      </c>
      <c r="T16" s="1">
        <v>0.93357811223241394</v>
      </c>
      <c r="U16" s="1">
        <v>0.93082768359898171</v>
      </c>
      <c r="V16" s="1">
        <v>0.92582503531800486</v>
      </c>
      <c r="W16" s="1">
        <v>0.91804871075604511</v>
      </c>
      <c r="X16" s="1">
        <v>0.90654347395524448</v>
      </c>
      <c r="Y16" s="1">
        <v>0.88972062478202107</v>
      </c>
      <c r="Z16" s="1">
        <v>0.86510151543198355</v>
      </c>
      <c r="AA16" s="1">
        <v>0.82912924924089793</v>
      </c>
    </row>
    <row r="17" spans="6:27" x14ac:dyDescent="0.2">
      <c r="F17">
        <v>-0.8</v>
      </c>
      <c r="G17" s="1">
        <v>0.76843334285808018</v>
      </c>
      <c r="H17" s="1">
        <v>0.7742292742896919</v>
      </c>
      <c r="I17" s="1">
        <v>0.78410454634943871</v>
      </c>
      <c r="J17" s="1">
        <v>0.79811598488089175</v>
      </c>
      <c r="K17" s="1">
        <v>0.81562649184834246</v>
      </c>
      <c r="L17" s="1">
        <v>0.83529187981084418</v>
      </c>
      <c r="M17" s="1">
        <v>0.85532673019712357</v>
      </c>
      <c r="N17" s="1">
        <v>0.87397208450957153</v>
      </c>
      <c r="O17" s="1">
        <v>0.8899274582575385</v>
      </c>
      <c r="P17" s="1">
        <v>0.90253165438088978</v>
      </c>
      <c r="Q17" s="1">
        <v>0.91166795572279857</v>
      </c>
      <c r="R17" s="1">
        <v>0.91752872615974812</v>
      </c>
      <c r="S17" s="1">
        <v>0.92038226091076925</v>
      </c>
      <c r="T17" s="1">
        <v>0.92040289892651361</v>
      </c>
      <c r="U17" s="1">
        <v>0.91755399188433595</v>
      </c>
      <c r="V17" s="1">
        <v>0.91148443632795706</v>
      </c>
      <c r="W17" s="1">
        <v>0.90139774311758736</v>
      </c>
      <c r="X17" s="1">
        <v>0.88586313186272203</v>
      </c>
      <c r="Y17" s="1">
        <v>0.86257091610491232</v>
      </c>
      <c r="Z17" s="1">
        <v>0.82813927980621038</v>
      </c>
      <c r="AA17" s="1">
        <v>0.77834219055584641</v>
      </c>
    </row>
    <row r="18" spans="6:27" x14ac:dyDescent="0.2">
      <c r="F18">
        <v>-0.7</v>
      </c>
      <c r="G18" s="1">
        <v>0.75057936403976788</v>
      </c>
      <c r="H18" s="1">
        <v>0.75148730663785024</v>
      </c>
      <c r="I18" s="1">
        <v>0.75617108066706895</v>
      </c>
      <c r="J18" s="1">
        <v>0.76528146251757034</v>
      </c>
      <c r="K18" s="1">
        <v>0.77894987340172028</v>
      </c>
      <c r="L18" s="1">
        <v>0.79655849594836725</v>
      </c>
      <c r="M18" s="1">
        <v>0.81670565474636125</v>
      </c>
      <c r="N18" s="1">
        <v>0.83747002177131857</v>
      </c>
      <c r="O18" s="1">
        <v>0.8569036150431264</v>
      </c>
      <c r="P18" s="1">
        <v>0.87350428023006432</v>
      </c>
      <c r="Q18" s="1">
        <v>0.88642685944377286</v>
      </c>
      <c r="R18" s="1">
        <v>0.89539055993010219</v>
      </c>
      <c r="S18" s="1">
        <v>0.9004170823127956</v>
      </c>
      <c r="T18" s="1">
        <v>0.90155037257272164</v>
      </c>
      <c r="U18" s="1">
        <v>0.89862274871244763</v>
      </c>
      <c r="V18" s="1">
        <v>0.89105305179399574</v>
      </c>
      <c r="W18" s="1">
        <v>0.87763365455372988</v>
      </c>
      <c r="X18" s="1">
        <v>0.85628624989412649</v>
      </c>
      <c r="Y18" s="1">
        <v>0.8238661371731012</v>
      </c>
      <c r="Z18" s="1">
        <v>0.77634146365533063</v>
      </c>
      <c r="AA18" s="1">
        <v>0.71004858796828019</v>
      </c>
    </row>
    <row r="19" spans="6:27" x14ac:dyDescent="0.2">
      <c r="F19">
        <v>-0.6</v>
      </c>
      <c r="G19" s="1">
        <v>0.73487940447399713</v>
      </c>
      <c r="H19" s="1">
        <v>0.7310497491795116</v>
      </c>
      <c r="I19" s="1">
        <v>0.73025994559633933</v>
      </c>
      <c r="J19" s="1">
        <v>0.73352439739707653</v>
      </c>
      <c r="K19" s="1">
        <v>0.74160674271557014</v>
      </c>
      <c r="L19" s="1">
        <v>0.75471875716371539</v>
      </c>
      <c r="M19" s="1">
        <v>0.77226029029889853</v>
      </c>
      <c r="N19" s="1">
        <v>0.79275776490836247</v>
      </c>
      <c r="O19" s="1">
        <v>0.81412002353978707</v>
      </c>
      <c r="P19" s="1">
        <v>0.83415219707760602</v>
      </c>
      <c r="Q19" s="1">
        <v>0.8510677430357515</v>
      </c>
      <c r="R19" s="1">
        <v>0.86372789697798702</v>
      </c>
      <c r="S19" s="1">
        <v>0.87154025417300462</v>
      </c>
      <c r="T19" s="1">
        <v>0.87414512842736214</v>
      </c>
      <c r="U19" s="1">
        <v>0.87104730259633434</v>
      </c>
      <c r="V19" s="1">
        <v>0.86126726873021786</v>
      </c>
      <c r="W19" s="1">
        <v>0.84302301084090026</v>
      </c>
      <c r="X19" s="1">
        <v>0.81349886816963879</v>
      </c>
      <c r="Y19" s="1">
        <v>0.76897207953891178</v>
      </c>
      <c r="Z19" s="1">
        <v>0.7059257136704612</v>
      </c>
      <c r="AA19" s="1">
        <v>0.6237571378218123</v>
      </c>
    </row>
    <row r="20" spans="6:27" x14ac:dyDescent="0.2">
      <c r="F20">
        <v>-0.5</v>
      </c>
      <c r="G20" s="1">
        <v>0.7208728430838871</v>
      </c>
      <c r="H20" s="1">
        <v>0.71269146438722086</v>
      </c>
      <c r="I20" s="1">
        <v>0.70658609598643973</v>
      </c>
      <c r="J20" s="1">
        <v>0.70370165753855329</v>
      </c>
      <c r="K20" s="1">
        <v>0.70517623726622269</v>
      </c>
      <c r="L20" s="1">
        <v>0.71188133192467262</v>
      </c>
      <c r="M20" s="1">
        <v>0.7240954113087803</v>
      </c>
      <c r="N20" s="1">
        <v>0.74121280494187658</v>
      </c>
      <c r="O20" s="1">
        <v>0.76165069062353419</v>
      </c>
      <c r="P20" s="1">
        <v>0.78308708014680706</v>
      </c>
      <c r="Q20" s="1">
        <v>0.80298331897666964</v>
      </c>
      <c r="R20" s="1">
        <v>0.81912230813478804</v>
      </c>
      <c r="S20" s="1">
        <v>0.82985826735466417</v>
      </c>
      <c r="T20" s="1">
        <v>0.83397767915420606</v>
      </c>
      <c r="U20" s="1">
        <v>0.83029493371234242</v>
      </c>
      <c r="V20" s="1">
        <v>0.81717350323641891</v>
      </c>
      <c r="W20" s="1">
        <v>0.79215067604699063</v>
      </c>
      <c r="X20" s="1">
        <v>0.75194269992901019</v>
      </c>
      <c r="Y20" s="1">
        <v>0.69337922211765668</v>
      </c>
      <c r="Z20" s="1">
        <v>0.61582743504129667</v>
      </c>
      <c r="AA20" s="1">
        <v>0.52427491152639683</v>
      </c>
    </row>
    <row r="21" spans="6:27" x14ac:dyDescent="0.2">
      <c r="F21">
        <v>-0.4</v>
      </c>
      <c r="G21" s="1">
        <v>0.7079957515614087</v>
      </c>
      <c r="H21" s="1">
        <v>0.69594735926143436</v>
      </c>
      <c r="I21" s="1">
        <v>0.68495157652661542</v>
      </c>
      <c r="J21" s="1">
        <v>0.67610978453817927</v>
      </c>
      <c r="K21" s="1">
        <v>0.67068108863660003</v>
      </c>
      <c r="L21" s="1">
        <v>0.66990368909876996</v>
      </c>
      <c r="M21" s="1">
        <v>0.67471418562506247</v>
      </c>
      <c r="N21" s="1">
        <v>0.68539832466368389</v>
      </c>
      <c r="O21" s="1">
        <v>0.70127209845688931</v>
      </c>
      <c r="P21" s="1">
        <v>0.72055517974446903</v>
      </c>
      <c r="Q21" s="1">
        <v>0.74057785048939817</v>
      </c>
      <c r="R21" s="1">
        <v>0.75828597532555364</v>
      </c>
      <c r="S21" s="1">
        <v>0.77077006857911567</v>
      </c>
      <c r="T21" s="1">
        <v>0.77549074143829066</v>
      </c>
      <c r="U21" s="1">
        <v>0.77009481695648185</v>
      </c>
      <c r="V21" s="1">
        <v>0.7520218583780407</v>
      </c>
      <c r="W21" s="1">
        <v>0.7183280826862104</v>
      </c>
      <c r="X21" s="1">
        <v>0.66633404855372613</v>
      </c>
      <c r="Y21" s="1">
        <v>0.59562542039362387</v>
      </c>
      <c r="Z21" s="1">
        <v>0.51074808995076237</v>
      </c>
      <c r="AA21" s="1">
        <v>0.42171110739584472</v>
      </c>
    </row>
    <row r="22" spans="6:27" x14ac:dyDescent="0.2">
      <c r="F22">
        <v>-0.3</v>
      </c>
      <c r="G22" s="1">
        <v>0.69567221188105133</v>
      </c>
      <c r="H22" s="1">
        <v>0.68024856767948561</v>
      </c>
      <c r="I22" s="1">
        <v>0.66490672182261312</v>
      </c>
      <c r="J22" s="1">
        <v>0.65060158957331682</v>
      </c>
      <c r="K22" s="1">
        <v>0.63852837871105206</v>
      </c>
      <c r="L22" s="1">
        <v>0.63001519924265048</v>
      </c>
      <c r="M22" s="1">
        <v>0.62631916045236269</v>
      </c>
      <c r="N22" s="1">
        <v>0.628324910538683</v>
      </c>
      <c r="O22" s="1">
        <v>0.63617961882348117</v>
      </c>
      <c r="P22" s="1">
        <v>0.64895636811763224</v>
      </c>
      <c r="Q22" s="1">
        <v>0.66449863347524529</v>
      </c>
      <c r="R22" s="1">
        <v>0.67958474405031921</v>
      </c>
      <c r="S22" s="1">
        <v>0.69038702101663785</v>
      </c>
      <c r="T22" s="1">
        <v>0.69297782760299453</v>
      </c>
      <c r="U22" s="1">
        <v>0.68362308455261944</v>
      </c>
      <c r="V22" s="1">
        <v>0.65893306821256026</v>
      </c>
      <c r="W22" s="1">
        <v>0.61638312052534916</v>
      </c>
      <c r="X22" s="1">
        <v>0.55577886900767293</v>
      </c>
      <c r="Y22" s="1">
        <v>0.48126635040445975</v>
      </c>
      <c r="Z22" s="1">
        <v>0.40168449649428473</v>
      </c>
      <c r="AA22" s="1">
        <v>0.32733615289731455</v>
      </c>
    </row>
    <row r="23" spans="6:27" x14ac:dyDescent="0.2">
      <c r="F23">
        <v>-0.2</v>
      </c>
      <c r="G23" s="1">
        <v>0.68337065612125336</v>
      </c>
      <c r="H23" s="1">
        <v>0.66502058033146561</v>
      </c>
      <c r="I23" s="1">
        <v>0.64589474960804094</v>
      </c>
      <c r="J23" s="1">
        <v>0.62675517766105349</v>
      </c>
      <c r="K23" s="1">
        <v>0.60862480774358763</v>
      </c>
      <c r="L23" s="1">
        <v>0.59272567938721588</v>
      </c>
      <c r="M23" s="1">
        <v>0.58033564425695983</v>
      </c>
      <c r="N23" s="1">
        <v>0.57255441684677733</v>
      </c>
      <c r="O23" s="1">
        <v>0.56998664283625411</v>
      </c>
      <c r="P23" s="1">
        <v>0.57237800867317645</v>
      </c>
      <c r="Q23" s="1">
        <v>0.57828981348815589</v>
      </c>
      <c r="R23" s="1">
        <v>0.5849544112869145</v>
      </c>
      <c r="S23" s="1">
        <v>0.58845350881352509</v>
      </c>
      <c r="T23" s="1">
        <v>0.58424889663687074</v>
      </c>
      <c r="U23" s="1">
        <v>0.56797340632083604</v>
      </c>
      <c r="V23" s="1">
        <v>0.5364570176841269</v>
      </c>
      <c r="W23" s="1">
        <v>0.4890855636314167</v>
      </c>
      <c r="X23" s="1">
        <v>0.42914959118606005</v>
      </c>
      <c r="Y23" s="1">
        <v>0.3638060823559176</v>
      </c>
      <c r="Z23" s="1">
        <v>0.30151431097933162</v>
      </c>
      <c r="AA23" s="1">
        <v>0.24845486926837421</v>
      </c>
    </row>
    <row r="24" spans="6:27" x14ac:dyDescent="0.2">
      <c r="F24">
        <v>-0.1</v>
      </c>
      <c r="G24" s="1">
        <v>0.67063358123942074</v>
      </c>
      <c r="H24" s="1">
        <v>0.64974250972652392</v>
      </c>
      <c r="I24" s="1">
        <v>0.62735319867988082</v>
      </c>
      <c r="J24" s="1">
        <v>0.60402281721290652</v>
      </c>
      <c r="K24" s="1">
        <v>0.58055049507846423</v>
      </c>
      <c r="L24" s="1">
        <v>0.55793942870701563</v>
      </c>
      <c r="M24" s="1">
        <v>0.53729033934517956</v>
      </c>
      <c r="N24" s="1">
        <v>0.51961792574193333</v>
      </c>
      <c r="O24" s="1">
        <v>0.50559619586685101</v>
      </c>
      <c r="P24" s="1">
        <v>0.4952556573831145</v>
      </c>
      <c r="Q24" s="1">
        <v>0.4876831991699398</v>
      </c>
      <c r="R24" s="1">
        <v>0.48082628143477951</v>
      </c>
      <c r="S24" s="1">
        <v>0.47156559668123305</v>
      </c>
      <c r="T24" s="1">
        <v>0.45623705024820954</v>
      </c>
      <c r="U24" s="1">
        <v>0.43168223055757171</v>
      </c>
      <c r="V24" s="1">
        <v>0.39664407169855165</v>
      </c>
      <c r="W24" s="1">
        <v>0.35288814130563401</v>
      </c>
      <c r="X24" s="1">
        <v>0.30507234002750122</v>
      </c>
      <c r="Y24" s="1">
        <v>0.25892513220147528</v>
      </c>
      <c r="Z24" s="1">
        <v>0.21885298079378923</v>
      </c>
      <c r="AA24" s="1">
        <v>0.18674120665627347</v>
      </c>
    </row>
    <row r="25" spans="6:27" x14ac:dyDescent="0.2">
      <c r="F25">
        <v>0</v>
      </c>
      <c r="G25" s="1">
        <v>0.65708933082128085</v>
      </c>
      <c r="H25" s="1">
        <v>0.63397513133015482</v>
      </c>
      <c r="I25" s="1">
        <v>0.60876992300138899</v>
      </c>
      <c r="J25" s="1">
        <v>0.58182910440269542</v>
      </c>
      <c r="K25" s="1">
        <v>0.55370853765291084</v>
      </c>
      <c r="L25" s="1">
        <v>0.52513965598119594</v>
      </c>
      <c r="M25" s="1">
        <v>0.49694868017464155</v>
      </c>
      <c r="N25" s="1">
        <v>0.46991488923030095</v>
      </c>
      <c r="O25" s="1">
        <v>0.44458032316150331</v>
      </c>
      <c r="P25" s="1">
        <v>0.42104423057199653</v>
      </c>
      <c r="Q25" s="1">
        <v>0.39880003027557476</v>
      </c>
      <c r="R25" s="1">
        <v>0.37670361931348112</v>
      </c>
      <c r="S25" s="1">
        <v>0.35318802465036947</v>
      </c>
      <c r="T25" s="1">
        <v>0.32680541615586672</v>
      </c>
      <c r="U25" s="1">
        <v>0.29699717306510426</v>
      </c>
      <c r="V25" s="1">
        <v>0.26468380285825399</v>
      </c>
      <c r="W25" s="1">
        <v>0.23213595920707458</v>
      </c>
      <c r="X25" s="1">
        <v>0.20202931391026208</v>
      </c>
      <c r="Y25" s="1">
        <v>0.17632955166392575</v>
      </c>
      <c r="Z25" s="1">
        <v>0.15577693421565636</v>
      </c>
      <c r="AA25" s="1">
        <v>0.14008705007097641</v>
      </c>
    </row>
    <row r="26" spans="6:27" x14ac:dyDescent="0.2">
      <c r="F26">
        <v>0.1</v>
      </c>
      <c r="G26" s="1">
        <v>0.64245188015414745</v>
      </c>
      <c r="H26" s="1">
        <v>0.61736576510708174</v>
      </c>
      <c r="I26" s="1">
        <v>0.58970111590774033</v>
      </c>
      <c r="J26" s="1">
        <v>0.55961609555515968</v>
      </c>
      <c r="K26" s="1">
        <v>0.52741756615902002</v>
      </c>
      <c r="L26" s="1">
        <v>0.49354998974927367</v>
      </c>
      <c r="M26" s="1">
        <v>0.45854847220585676</v>
      </c>
      <c r="N26" s="1">
        <v>0.42295781015486067</v>
      </c>
      <c r="O26" s="1">
        <v>0.38723842109540318</v>
      </c>
      <c r="P26" s="1">
        <v>0.35170137188161638</v>
      </c>
      <c r="Q26" s="1">
        <v>0.3165263877082316</v>
      </c>
      <c r="R26" s="1">
        <v>0.28189951322417772</v>
      </c>
      <c r="S26" s="1">
        <v>0.24824017060088327</v>
      </c>
      <c r="T26" s="1">
        <v>0.21638001216201805</v>
      </c>
      <c r="U26" s="1">
        <v>0.18750071058140014</v>
      </c>
      <c r="V26" s="1">
        <v>0.16277043297659483</v>
      </c>
      <c r="W26" s="1">
        <v>0.14289201897995599</v>
      </c>
      <c r="X26" s="1">
        <v>0.12788013126954589</v>
      </c>
      <c r="Y26" s="1">
        <v>0.11716878729137702</v>
      </c>
      <c r="Z26" s="1">
        <v>0.10989192998581898</v>
      </c>
      <c r="AA26" s="1">
        <v>0.10514284762439</v>
      </c>
    </row>
    <row r="27" spans="6:27" x14ac:dyDescent="0.2">
      <c r="F27">
        <v>0.2</v>
      </c>
      <c r="G27" s="1">
        <v>0.62651133723265506</v>
      </c>
      <c r="H27" s="1">
        <v>0.59963557613321861</v>
      </c>
      <c r="I27" s="1">
        <v>0.56976037237708044</v>
      </c>
      <c r="J27" s="1">
        <v>0.53684570280435917</v>
      </c>
      <c r="K27" s="1">
        <v>0.50094939127625526</v>
      </c>
      <c r="L27" s="1">
        <v>0.46224307913196711</v>
      </c>
      <c r="M27" s="1">
        <v>0.42102724978632616</v>
      </c>
      <c r="N27" s="1">
        <v>0.37775752023741654</v>
      </c>
      <c r="O27" s="1">
        <v>0.33310191374863329</v>
      </c>
      <c r="P27" s="1">
        <v>0.28803910263132448</v>
      </c>
      <c r="Q27" s="1">
        <v>0.24396053739961121</v>
      </c>
      <c r="R27" s="1">
        <v>0.2026618735703275</v>
      </c>
      <c r="S27" s="1">
        <v>0.1660831881574</v>
      </c>
      <c r="T27" s="1">
        <v>0.13580358229191475</v>
      </c>
      <c r="U27" s="1">
        <v>0.11256005559381442</v>
      </c>
      <c r="V27" s="1">
        <v>9.6123469616313531E-2</v>
      </c>
      <c r="W27" s="1">
        <v>8.5572116518414537E-2</v>
      </c>
      <c r="X27" s="1">
        <v>7.9699319471825861E-2</v>
      </c>
      <c r="Y27" s="1">
        <v>7.730520607468537E-2</v>
      </c>
      <c r="Z27" s="1">
        <v>7.7322399973673947E-2</v>
      </c>
      <c r="AA27" s="1">
        <v>7.8849152256296087E-2</v>
      </c>
    </row>
    <row r="28" spans="6:27" x14ac:dyDescent="0.2">
      <c r="F28">
        <v>0.3</v>
      </c>
      <c r="G28" s="1">
        <v>0.60911544064952983</v>
      </c>
      <c r="H28" s="1">
        <v>0.58055250840662964</v>
      </c>
      <c r="I28" s="1">
        <v>0.5485868420163762</v>
      </c>
      <c r="J28" s="1">
        <v>0.51297374641601801</v>
      </c>
      <c r="K28" s="1">
        <v>0.47353131109682928</v>
      </c>
      <c r="L28" s="1">
        <v>0.43021151023809479</v>
      </c>
      <c r="M28" s="1">
        <v>0.38322475702298731</v>
      </c>
      <c r="N28" s="1">
        <v>0.3332324572024476</v>
      </c>
      <c r="O28" s="1">
        <v>0.28158088930130115</v>
      </c>
      <c r="P28" s="1">
        <v>0.23045286520436292</v>
      </c>
      <c r="Q28" s="1">
        <v>0.18270686713459725</v>
      </c>
      <c r="R28" s="1">
        <v>0.14123282138315701</v>
      </c>
      <c r="S28" s="1">
        <v>0.10802750665533264</v>
      </c>
      <c r="T28" s="1">
        <v>8.3591161598396191E-2</v>
      </c>
      <c r="U28" s="1">
        <v>6.7077527041835477E-2</v>
      </c>
      <c r="V28" s="1">
        <v>5.6974340623268817E-2</v>
      </c>
      <c r="W28" s="1">
        <v>5.1754329674375835E-2</v>
      </c>
      <c r="X28" s="1">
        <v>5.0184824094877671E-2</v>
      </c>
      <c r="Y28" s="1">
        <v>5.1338070759493613E-2</v>
      </c>
      <c r="Z28" s="1">
        <v>5.4473442468649616E-2</v>
      </c>
      <c r="AA28" s="1">
        <v>5.8927802324006975E-2</v>
      </c>
    </row>
    <row r="29" spans="6:27" x14ac:dyDescent="0.2">
      <c r="F29">
        <v>0.4</v>
      </c>
      <c r="G29" s="1">
        <v>0.59014127248986137</v>
      </c>
      <c r="H29" s="1">
        <v>0.55989223245473785</v>
      </c>
      <c r="I29" s="1">
        <v>0.52580036501947525</v>
      </c>
      <c r="J29" s="1">
        <v>0.48741211059065748</v>
      </c>
      <c r="K29" s="1">
        <v>0.44434118548804841</v>
      </c>
      <c r="L29" s="1">
        <v>0.39644045417824475</v>
      </c>
      <c r="M29" s="1">
        <v>0.34409558649986788</v>
      </c>
      <c r="N29" s="1">
        <v>0.28861486535306741</v>
      </c>
      <c r="O29" s="1">
        <v>0.23253693510620357</v>
      </c>
      <c r="P29" s="1">
        <v>0.17948906593326824</v>
      </c>
      <c r="Q29" s="1">
        <v>0.1332898223639046</v>
      </c>
      <c r="R29" s="1">
        <v>9.6582335910335257E-2</v>
      </c>
      <c r="S29" s="1">
        <v>6.9945699086563728E-2</v>
      </c>
      <c r="T29" s="1">
        <v>5.2150363229270351E-2</v>
      </c>
      <c r="U29" s="1">
        <v>4.1168895954943711E-2</v>
      </c>
      <c r="V29" s="1">
        <v>3.5086423874283561E-2</v>
      </c>
      <c r="W29" s="1">
        <v>3.2504305245281237E-2</v>
      </c>
      <c r="X29" s="1">
        <v>3.2544560367981007E-2</v>
      </c>
      <c r="Y29" s="1">
        <v>3.4684356958288053E-2</v>
      </c>
      <c r="Z29" s="1">
        <v>3.856256289700568E-2</v>
      </c>
      <c r="AA29" s="1">
        <v>4.3822818443853773E-2</v>
      </c>
    </row>
    <row r="30" spans="6:27" x14ac:dyDescent="0.2">
      <c r="F30">
        <v>0.5</v>
      </c>
      <c r="G30" s="1">
        <v>0.56945696749557306</v>
      </c>
      <c r="H30" s="1">
        <v>0.53739069970551434</v>
      </c>
      <c r="I30" s="1">
        <v>0.50095360453127402</v>
      </c>
      <c r="J30" s="1">
        <v>0.45949926963617233</v>
      </c>
      <c r="K30" s="1">
        <v>0.41253026373304602</v>
      </c>
      <c r="L30" s="1">
        <v>0.36003187209598086</v>
      </c>
      <c r="M30" s="1">
        <v>0.30297722154828799</v>
      </c>
      <c r="N30" s="1">
        <v>0.24383379406005454</v>
      </c>
      <c r="O30" s="1">
        <v>0.18661179901253436</v>
      </c>
      <c r="P30" s="1">
        <v>0.13593710628808289</v>
      </c>
      <c r="Q30" s="1">
        <v>9.5317436930411392E-2</v>
      </c>
      <c r="R30" s="1">
        <v>6.5802210447396314E-2</v>
      </c>
      <c r="S30" s="1">
        <v>4.6105329218932928E-2</v>
      </c>
      <c r="T30" s="1">
        <v>3.3834257452853012E-2</v>
      </c>
      <c r="U30" s="1">
        <v>2.6674029476307717E-2</v>
      </c>
      <c r="V30" s="1">
        <v>2.2929733370266148E-2</v>
      </c>
      <c r="W30" s="1">
        <v>2.1560379521521268E-2</v>
      </c>
      <c r="X30" s="1">
        <v>2.2015543608577898E-2</v>
      </c>
      <c r="Y30" s="1">
        <v>2.4050759420887462E-2</v>
      </c>
      <c r="Z30" s="1">
        <v>2.7566331528333276E-2</v>
      </c>
      <c r="AA30" s="1">
        <v>3.2468012700533608E-2</v>
      </c>
    </row>
    <row r="31" spans="6:27" x14ac:dyDescent="0.2">
      <c r="F31">
        <v>0.6</v>
      </c>
      <c r="G31" s="1">
        <v>0.54687546052456282</v>
      </c>
      <c r="H31" s="1">
        <v>0.51269532555812836</v>
      </c>
      <c r="I31" s="1">
        <v>0.4734963127974422</v>
      </c>
      <c r="J31" s="1">
        <v>0.42850670354035209</v>
      </c>
      <c r="K31" s="1">
        <v>0.37731580670475851</v>
      </c>
      <c r="L31" s="1">
        <v>0.3204250665314895</v>
      </c>
      <c r="M31" s="1">
        <v>0.25991638584133908</v>
      </c>
      <c r="N31" s="1">
        <v>0.1997730476218324</v>
      </c>
      <c r="O31" s="1">
        <v>0.14514808682913907</v>
      </c>
      <c r="P31" s="1">
        <v>0.10046001417456082</v>
      </c>
      <c r="Q31" s="1">
        <v>6.7546801036532628E-2</v>
      </c>
      <c r="R31" s="1">
        <v>4.5414013448779982E-2</v>
      </c>
      <c r="S31" s="1">
        <v>3.1515001005083067E-2</v>
      </c>
      <c r="T31" s="1">
        <v>2.3203844631493251E-2</v>
      </c>
      <c r="U31" s="1">
        <v>1.8473322076680475E-2</v>
      </c>
      <c r="V31" s="1">
        <v>1.6048688381445433E-2</v>
      </c>
      <c r="W31" s="1">
        <v>1.5219715090131805E-2</v>
      </c>
      <c r="X31" s="1">
        <v>1.5651661277679894E-2</v>
      </c>
      <c r="Y31" s="1">
        <v>1.7244297530258194E-2</v>
      </c>
      <c r="Z31" s="1">
        <v>2.0028331140054145E-2</v>
      </c>
      <c r="AA31" s="1">
        <v>2.4071611486994739E-2</v>
      </c>
    </row>
    <row r="32" spans="6:27" x14ac:dyDescent="0.2">
      <c r="F32">
        <v>0.7</v>
      </c>
      <c r="G32" s="1">
        <v>0.52210629697271538</v>
      </c>
      <c r="H32" s="1">
        <v>0.48532772924706086</v>
      </c>
      <c r="I32" s="1">
        <v>0.44277544803834984</v>
      </c>
      <c r="J32" s="1">
        <v>0.39371842462725998</v>
      </c>
      <c r="K32" s="1">
        <v>0.33818530046039885</v>
      </c>
      <c r="L32" s="1">
        <v>0.27771893891283106</v>
      </c>
      <c r="M32" s="1">
        <v>0.21595184772100301</v>
      </c>
      <c r="N32" s="1">
        <v>0.15820666404087042</v>
      </c>
      <c r="O32" s="1">
        <v>0.10966326369426642</v>
      </c>
      <c r="P32" s="1">
        <v>7.3103280508914334E-2</v>
      </c>
      <c r="Q32" s="1">
        <v>4.8121522090303966E-2</v>
      </c>
      <c r="R32" s="1">
        <v>3.2250654099146049E-2</v>
      </c>
      <c r="S32" s="1">
        <v>2.2622443679861458E-2</v>
      </c>
      <c r="T32" s="1">
        <v>1.6946152702822844E-2</v>
      </c>
      <c r="U32" s="1">
        <v>1.3711958110570589E-2</v>
      </c>
      <c r="V32" s="1">
        <v>1.2034181371992404E-2</v>
      </c>
      <c r="W32" s="1">
        <v>1.1442696224367209E-2</v>
      </c>
      <c r="X32" s="1">
        <v>1.1729795008772352E-2</v>
      </c>
      <c r="Y32" s="1">
        <v>1.2857106866369809E-2</v>
      </c>
      <c r="Z32" s="1">
        <v>1.4897719175543597E-2</v>
      </c>
      <c r="AA32" s="1">
        <v>1.7985873610037839E-2</v>
      </c>
    </row>
    <row r="33" spans="6:27" x14ac:dyDescent="0.2">
      <c r="F33">
        <v>0.8</v>
      </c>
      <c r="G33" s="1">
        <v>0.49471748248202574</v>
      </c>
      <c r="H33" s="1">
        <v>0.45467984483078733</v>
      </c>
      <c r="I33" s="1">
        <v>0.40810608980603541</v>
      </c>
      <c r="J33" s="1">
        <v>0.35462546381306675</v>
      </c>
      <c r="K33" s="1">
        <v>0.29522412088833855</v>
      </c>
      <c r="L33" s="1">
        <v>0.23300096187758182</v>
      </c>
      <c r="M33" s="1">
        <v>0.17312625097461462</v>
      </c>
      <c r="N33" s="1">
        <v>0.12127109379801337</v>
      </c>
      <c r="O33" s="1">
        <v>8.1137126040644283E-2</v>
      </c>
      <c r="P33" s="1">
        <v>5.3100009672902647E-2</v>
      </c>
      <c r="Q33" s="1">
        <v>3.4991194346867024E-2</v>
      </c>
      <c r="R33" s="1">
        <v>2.3852089925108056E-2</v>
      </c>
      <c r="S33" s="1">
        <v>1.7158859894022223E-2</v>
      </c>
      <c r="T33" s="1">
        <v>1.3180815248592841E-2</v>
      </c>
      <c r="U33" s="1">
        <v>1.0865342848585757E-2</v>
      </c>
      <c r="V33" s="1">
        <v>9.6180666977040193E-3</v>
      </c>
      <c r="W33" s="1">
        <v>9.1283251583910759E-3</v>
      </c>
      <c r="X33" s="1">
        <v>9.2616999847079575E-3</v>
      </c>
      <c r="Y33" s="1">
        <v>1.000200486840022E-2</v>
      </c>
      <c r="Z33" s="1">
        <v>1.1421189849879216E-2</v>
      </c>
      <c r="AA33" s="1">
        <v>1.3657985456240364E-2</v>
      </c>
    </row>
    <row r="34" spans="6:27" x14ac:dyDescent="0.2">
      <c r="F34">
        <v>0.9</v>
      </c>
      <c r="G34" s="1">
        <v>0.46412791294379269</v>
      </c>
      <c r="H34" s="1">
        <v>0.42007685168121872</v>
      </c>
      <c r="I34" s="1">
        <v>0.36895581556204327</v>
      </c>
      <c r="J34" s="1">
        <v>0.31125531349403873</v>
      </c>
      <c r="K34" s="1">
        <v>0.2494859512063394</v>
      </c>
      <c r="L34" s="1">
        <v>0.1884460815597864</v>
      </c>
      <c r="M34" s="1">
        <v>0.13400949137257978</v>
      </c>
      <c r="N34" s="1">
        <v>9.0644963588745089E-2</v>
      </c>
      <c r="O34" s="1">
        <v>5.9575154623812195E-2</v>
      </c>
      <c r="P34" s="1">
        <v>3.9099190680076112E-2</v>
      </c>
      <c r="Q34" s="1">
        <v>2.6303847850415982E-2</v>
      </c>
      <c r="R34" s="1">
        <v>1.8498887358377871E-2</v>
      </c>
      <c r="S34" s="1">
        <v>1.3756235273559236E-2</v>
      </c>
      <c r="T34" s="1">
        <v>1.0866077152573192E-2</v>
      </c>
      <c r="U34" s="1">
        <v>9.1215980071993573E-3</v>
      </c>
      <c r="V34" s="1">
        <v>8.1280314248667034E-3</v>
      </c>
      <c r="W34" s="1">
        <v>7.6778615202947424E-3</v>
      </c>
      <c r="X34" s="1">
        <v>7.6802036674621732E-3</v>
      </c>
      <c r="Y34" s="1">
        <v>8.1251900611269724E-3</v>
      </c>
      <c r="Z34" s="1">
        <v>9.0686221495588863E-3</v>
      </c>
      <c r="AA34" s="1">
        <v>1.0625669176708534E-2</v>
      </c>
    </row>
    <row r="35" spans="6:27" x14ac:dyDescent="0.2">
      <c r="F35">
        <v>1</v>
      </c>
      <c r="G35" s="1">
        <v>0.42966235558157401</v>
      </c>
      <c r="H35" s="1">
        <v>0.38094996110175461</v>
      </c>
      <c r="I35" s="1">
        <v>0.32526994670543974</v>
      </c>
      <c r="J35" s="1">
        <v>0.26457247539793582</v>
      </c>
      <c r="K35" s="1">
        <v>0.20317340133615827</v>
      </c>
      <c r="L35" s="1">
        <v>0.14691312327448144</v>
      </c>
      <c r="M35" s="1">
        <v>0.10082057880530587</v>
      </c>
      <c r="N35" s="1">
        <v>6.6927899277280531E-2</v>
      </c>
      <c r="O35" s="1">
        <v>4.4101218939428109E-2</v>
      </c>
      <c r="P35" s="1">
        <v>2.9590018086062948E-2</v>
      </c>
      <c r="Q35" s="1">
        <v>2.0610458330245024E-2</v>
      </c>
      <c r="R35" s="1">
        <v>1.5068763134396075E-2</v>
      </c>
      <c r="S35" s="1">
        <v>1.1610019016919009E-2</v>
      </c>
      <c r="T35" s="1">
        <v>9.4229085725632059E-3</v>
      </c>
      <c r="U35" s="1">
        <v>8.0399470671010803E-3</v>
      </c>
      <c r="V35" s="1">
        <v>7.1985859411250186E-3</v>
      </c>
      <c r="W35" s="1">
        <v>6.7583476543289769E-3</v>
      </c>
      <c r="X35" s="1">
        <v>6.6556898125410104E-3</v>
      </c>
      <c r="Y35" s="1">
        <v>6.8820150412523835E-3</v>
      </c>
      <c r="Z35" s="1">
        <v>7.4756587046856931E-3</v>
      </c>
      <c r="AA35" s="1">
        <v>8.5218325746634609E-3</v>
      </c>
    </row>
  </sheetData>
  <conditionalFormatting sqref="G15:AA35">
    <cfRule type="colorScale" priority="2">
      <colorScale>
        <cfvo type="num" val="0"/>
        <cfvo type="num" val="0.5"/>
        <cfvo type="num" val="1"/>
        <color theme="3" tint="0.249977111117893"/>
        <color theme="0"/>
        <color rgb="FFFF0000"/>
      </colorScale>
    </cfRule>
  </conditionalFormatting>
  <conditionalFormatting sqref="AB4">
    <cfRule type="colorScale" priority="1">
      <colorScale>
        <cfvo type="num" val="0"/>
        <cfvo type="num" val="0.5"/>
        <cfvo type="num" val="1"/>
        <color theme="3" tint="0.249977111117893"/>
        <color theme="0"/>
        <color rgb="FFFF0000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7854C-D4FA-4DD1-9F9B-F3AE798C7A71}">
  <dimension ref="A1"/>
  <sheetViews>
    <sheetView workbookViewId="0">
      <selection activeCell="C1" sqref="C1:X22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Sproesser Mathias</dc:creator>
  <cp:lastModifiedBy>Claudio Pinhanez</cp:lastModifiedBy>
  <dcterms:created xsi:type="dcterms:W3CDTF">2025-08-07T10:56:35Z</dcterms:created>
  <dcterms:modified xsi:type="dcterms:W3CDTF">2026-07-30T20:06:12Z</dcterms:modified>
</cp:coreProperties>
</file>